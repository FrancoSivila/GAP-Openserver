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numeros.png" ContentType="image/.PNG"/>
  <Override PartName="/customUI/images/backsetup.png" ContentType="image/.PNG"/>
  <Override PartName="/customUI/images/FFSA_48.png" ContentType="image/.PNG"/>
  <Override PartName="/customUI/images/tabla-de-progreso.png" ContentType="image/.PNG"/>
  <Override PartName="/customUI/images/ctrl_Q.png" ContentType="image/.PNG"/>
  <Override PartName="/customUI/images/abc.png" ContentType="image/.PNG"/>
</Types>
</file>

<file path=_rels/.rels><?xml version="1.0" encoding="UTF-8" standalone="yes"?>
<Relationships xmlns="http://schemas.openxmlformats.org/package/2006/relationships"><Relationship Id="R664d1a63a9134837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FFSA Cursos-Conferencias\PETEX Course English\03 GAP Openserver API\vba\"/>
    </mc:Choice>
  </mc:AlternateContent>
  <xr:revisionPtr revIDLastSave="0" documentId="13_ncr:1_{F6781B45-3AF5-4FB9-B45E-55DC67D45ED2}" xr6:coauthVersionLast="47" xr6:coauthVersionMax="47" xr10:uidLastSave="{00000000-0000-0000-0000-000000000000}"/>
  <bookViews>
    <workbookView xWindow="-120" yWindow="-120" windowWidth="29040" windowHeight="15840" activeTab="2" xr2:uid="{232AD280-111E-4737-8755-BAD0A0150DA5}"/>
  </bookViews>
  <sheets>
    <sheet name="DoSet" sheetId="1" r:id="rId1"/>
    <sheet name="DoGet" sheetId="2" r:id="rId2"/>
    <sheet name="Get Multiple values" sheetId="3" r:id="rId3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3" l="1"/>
  <c r="B12" i="3"/>
  <c r="I12" i="3"/>
  <c r="C4" i="1" l="1"/>
</calcChain>
</file>

<file path=xl/sharedStrings.xml><?xml version="1.0" encoding="utf-8"?>
<sst xmlns="http://schemas.openxmlformats.org/spreadsheetml/2006/main" count="62" uniqueCount="33">
  <si>
    <t>String</t>
  </si>
  <si>
    <t>Value</t>
  </si>
  <si>
    <t>Element Name</t>
  </si>
  <si>
    <t>Well 1_CK</t>
  </si>
  <si>
    <t>DoSet example</t>
  </si>
  <si>
    <t>Unit</t>
  </si>
  <si>
    <t>inches</t>
  </si>
  <si>
    <t>DoGet example</t>
  </si>
  <si>
    <t>GAP.MOD[{PROD}].WELL[{Well 2}].PREDRES[{01/01/1979}].FBHP</t>
  </si>
  <si>
    <t>Well 1|Well 2|Python_1|</t>
  </si>
  <si>
    <t>GAP.MOD[{PROD}].well[$].Label</t>
  </si>
  <si>
    <t>Well 1</t>
  </si>
  <si>
    <t>Well 2</t>
  </si>
  <si>
    <t>Python_1</t>
  </si>
  <si>
    <t>Well</t>
  </si>
  <si>
    <t>Name</t>
  </si>
  <si>
    <t>Date</t>
  </si>
  <si>
    <t>FBHP</t>
  </si>
  <si>
    <t>Gas</t>
  </si>
  <si>
    <t>Oil</t>
  </si>
  <si>
    <t>Water</t>
  </si>
  <si>
    <t>WHP</t>
  </si>
  <si>
    <t>GAP.MOD[{PROD}].WELL[{Well 2}].PREDRES.DATES[0]</t>
  </si>
  <si>
    <t>GAP.MOD[{PROD}].WELL[{Well 2}].PREDRES[{01/01/1979}].FWHP</t>
  </si>
  <si>
    <t>GAP.MOD[{PROD}].WELL[{Well 2}].PREDRES[{01/01/1979}].GASRATE</t>
  </si>
  <si>
    <t>GAP.MOD[{PROD}].WELL[{Well 2}].PREDRES[{01/01/1979}].OILRATE</t>
  </si>
  <si>
    <t>GAP.MOD[{PROD}].WELL[{Well 2}].PREDRES[{01/01/1979}].WATRATE</t>
  </si>
  <si>
    <t>String (Openserver API)</t>
  </si>
  <si>
    <t>Openserver API</t>
  </si>
  <si>
    <t>date</t>
  </si>
  <si>
    <t>psig</t>
  </si>
  <si>
    <t>MMscf/day</t>
  </si>
  <si>
    <t>STB/day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</si>
</sst>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dd\ mmm\ yyyy"/>
  </numFmts>
  <fonts count="7" x14ac:knownFonts="1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0" fillId="0" borderId="4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4" fillId="0" borderId="0" xfId="0" applyFont="1"/>
    <xf numFmtId="0" fontId="5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left" indent="1"/>
    </xf>
    <xf numFmtId="0" fontId="2" fillId="0" borderId="10" xfId="0" applyFont="1" applyBorder="1"/>
    <xf numFmtId="0" fontId="0" fillId="0" borderId="10" xfId="0" applyBorder="1"/>
    <xf numFmtId="0" fontId="0" fillId="0" borderId="11" xfId="0" applyBorder="1"/>
    <xf numFmtId="0" fontId="1" fillId="0" borderId="7" xfId="0" applyFont="1" applyBorder="1"/>
    <xf numFmtId="0" fontId="1" fillId="0" borderId="0" xfId="0" applyFont="1"/>
    <xf numFmtId="0" fontId="1" fillId="0" borderId="12" xfId="0" applyFont="1" applyBorder="1"/>
    <xf numFmtId="0" fontId="1" fillId="2" borderId="10" xfId="0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1" fillId="2" borderId="13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0" xfId="0" applyFill="1"/>
    <xf numFmtId="0" fontId="6" fillId="2" borderId="1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right"/>
    </xf>
    <xf numFmtId="0" fontId="6" fillId="2" borderId="16" xfId="0" applyFont="1" applyFill="1" applyBorder="1" applyAlignment="1">
      <alignment horizontal="righ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FBHP</c:v>
          </c:tx>
          <c:spPr>
            <a:ln w="63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FFFF00"/>
              </a:solidFill>
              <a:ln w="6350">
                <a:solidFill>
                  <a:srgbClr val="FFA500"/>
                </a:solidFill>
                <a:prstDash val="solid"/>
              </a:ln>
              <a:effectLst/>
            </c:spPr>
          </c:marker>
          <c:cat>
            <c:numRef>
              <c:f>'Get Multiple values'!$B$15:$B$30</c:f>
              <c:numCache>
                <c:formatCode>dd\ mmm\ yyyy</c:formatCode>
                <c:ptCount val="16"/>
                <c:pt idx="0">
                  <c:v>28855</c:v>
                </c:pt>
                <c:pt idx="1">
                  <c:v>29220</c:v>
                </c:pt>
                <c:pt idx="2">
                  <c:v>29586</c:v>
                </c:pt>
                <c:pt idx="3">
                  <c:v>29951</c:v>
                </c:pt>
                <c:pt idx="4">
                  <c:v>30316</c:v>
                </c:pt>
                <c:pt idx="5">
                  <c:v>30623</c:v>
                </c:pt>
                <c:pt idx="6">
                  <c:v>30681</c:v>
                </c:pt>
                <c:pt idx="7">
                  <c:v>31047</c:v>
                </c:pt>
                <c:pt idx="8">
                  <c:v>31081</c:v>
                </c:pt>
                <c:pt idx="9">
                  <c:v>31293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32450</c:v>
                </c:pt>
                <c:pt idx="14">
                  <c:v>32508</c:v>
                </c:pt>
                <c:pt idx="15">
                  <c:v>32616</c:v>
                </c:pt>
              </c:numCache>
            </c:numRef>
          </c:cat>
          <c:val>
            <c:numRef>
              <c:f>'Get Multiple values'!$J$15:$J$30</c:f>
              <c:numCache>
                <c:formatCode>#,##0.0</c:formatCode>
                <c:ptCount val="16"/>
                <c:pt idx="0">
                  <c:v>6166.97</c:v>
                </c:pt>
                <c:pt idx="1">
                  <c:v>6034.65</c:v>
                </c:pt>
                <c:pt idx="2">
                  <c:v>5833.43</c:v>
                </c:pt>
                <c:pt idx="3">
                  <c:v>5648.49</c:v>
                </c:pt>
                <c:pt idx="4">
                  <c:v>5477.04</c:v>
                </c:pt>
                <c:pt idx="5">
                  <c:v>5342.63</c:v>
                </c:pt>
                <c:pt idx="6">
                  <c:v>5318.46</c:v>
                </c:pt>
                <c:pt idx="7">
                  <c:v>5169.1499999999996</c:v>
                </c:pt>
                <c:pt idx="8">
                  <c:v>5156.2</c:v>
                </c:pt>
                <c:pt idx="9">
                  <c:v>5059.2</c:v>
                </c:pt>
                <c:pt idx="10">
                  <c:v>5006.67</c:v>
                </c:pt>
                <c:pt idx="11">
                  <c:v>4852.75</c:v>
                </c:pt>
                <c:pt idx="12">
                  <c:v>4711.09</c:v>
                </c:pt>
                <c:pt idx="13">
                  <c:v>4598.76</c:v>
                </c:pt>
                <c:pt idx="14">
                  <c:v>4576.88</c:v>
                </c:pt>
                <c:pt idx="15">
                  <c:v>4576.88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26-4E6B-8FBD-950B38CCE7B7}"/>
            </c:ext>
          </c:extLst>
        </c:ser>
        <c:ser>
          <c:idx val="0"/>
          <c:order val="1"/>
          <c:tx>
            <c:v>FBHP</c:v>
          </c:tx>
          <c:spPr>
            <a:ln w="63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DAE3F3"/>
              </a:solidFill>
              <a:ln w="6350">
                <a:solidFill>
                  <a:srgbClr val="0000FF"/>
                </a:solidFill>
                <a:prstDash val="solid"/>
              </a:ln>
              <a:effectLst/>
            </c:spPr>
          </c:marker>
          <c:cat>
            <c:numRef>
              <c:f>'Get Multiple values'!$B$15:$B$30</c:f>
              <c:numCache>
                <c:formatCode>dd\ mmm\ yyyy</c:formatCode>
                <c:ptCount val="16"/>
                <c:pt idx="0">
                  <c:v>28855</c:v>
                </c:pt>
                <c:pt idx="1">
                  <c:v>29220</c:v>
                </c:pt>
                <c:pt idx="2">
                  <c:v>29586</c:v>
                </c:pt>
                <c:pt idx="3">
                  <c:v>29951</c:v>
                </c:pt>
                <c:pt idx="4">
                  <c:v>30316</c:v>
                </c:pt>
                <c:pt idx="5">
                  <c:v>30623</c:v>
                </c:pt>
                <c:pt idx="6">
                  <c:v>30681</c:v>
                </c:pt>
                <c:pt idx="7">
                  <c:v>31047</c:v>
                </c:pt>
                <c:pt idx="8">
                  <c:v>31081</c:v>
                </c:pt>
                <c:pt idx="9">
                  <c:v>31293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32450</c:v>
                </c:pt>
                <c:pt idx="14">
                  <c:v>32508</c:v>
                </c:pt>
                <c:pt idx="15">
                  <c:v>32616</c:v>
                </c:pt>
              </c:numCache>
            </c:numRef>
          </c:cat>
          <c:val>
            <c:numRef>
              <c:f>'Get Multiple values'!$Q$15:$Q$30</c:f>
              <c:numCache>
                <c:formatCode>#,##0.0</c:formatCode>
                <c:ptCount val="16"/>
                <c:pt idx="0">
                  <c:v>0</c:v>
                </c:pt>
                <c:pt idx="1">
                  <c:v>5721.17</c:v>
                </c:pt>
                <c:pt idx="2">
                  <c:v>5522.05</c:v>
                </c:pt>
                <c:pt idx="3">
                  <c:v>5339.06</c:v>
                </c:pt>
                <c:pt idx="4">
                  <c:v>5169.99</c:v>
                </c:pt>
                <c:pt idx="5">
                  <c:v>5037.76</c:v>
                </c:pt>
                <c:pt idx="6">
                  <c:v>5014.0600000000004</c:v>
                </c:pt>
                <c:pt idx="7">
                  <c:v>4867.8599999999997</c:v>
                </c:pt>
                <c:pt idx="8">
                  <c:v>4512.71</c:v>
                </c:pt>
                <c:pt idx="9">
                  <c:v>4407.28</c:v>
                </c:pt>
                <c:pt idx="10">
                  <c:v>4357.3</c:v>
                </c:pt>
                <c:pt idx="11">
                  <c:v>4209.2299999999996</c:v>
                </c:pt>
                <c:pt idx="12">
                  <c:v>4072.26</c:v>
                </c:pt>
                <c:pt idx="13">
                  <c:v>3809.08</c:v>
                </c:pt>
                <c:pt idx="14">
                  <c:v>3788.53</c:v>
                </c:pt>
                <c:pt idx="15">
                  <c:v>3788.53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26-4E6B-8FBD-950B38CCE7B7}"/>
            </c:ext>
          </c:extLst>
        </c:ser>
        <c:ser>
          <c:idx val="2"/>
          <c:order val="2"/>
          <c:tx>
            <c:v/>
          </c:tx>
          <c:spPr>
            <a:ln w="63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E2F0D9"/>
              </a:solidFill>
              <a:ln w="6350">
                <a:solidFill>
                  <a:srgbClr val="00B050"/>
                </a:solidFill>
                <a:prstDash val="solid"/>
              </a:ln>
              <a:effectLst/>
            </c:spPr>
          </c:marker>
          <c:cat>
            <c:strRef>
              <c:f>'Get Multiple values'!$B$1:$B$15</c:f>
              <c:strCache>
                <c:ptCount val="15"/>
                <c:pt idx="0">
                  <c:v>String (Openserver API)</c:v>
                </c:pt>
                <c:pt idx="1">
                  <c:v>GAP.MOD[{PROD}].WELL[{Well 2}].PREDRES.DATES[0]</c:v>
                </c:pt>
                <c:pt idx="2">
                  <c:v>GAP.MOD[{PROD}].WELL[{Well 2}].PREDRES[{01/01/1979}].FBHP</c:v>
                </c:pt>
                <c:pt idx="3">
                  <c:v>GAP.MOD[{PROD}].WELL[{Well 2}].PREDRES[{01/01/1979}].FWHP</c:v>
                </c:pt>
                <c:pt idx="4">
                  <c:v>GAP.MOD[{PROD}].WELL[{Well 2}].PREDRES[{01/01/1979}].GASRATE</c:v>
                </c:pt>
                <c:pt idx="5">
                  <c:v>GAP.MOD[{PROD}].WELL[{Well 2}].PREDRES[{01/01/1979}].OILRATE</c:v>
                </c:pt>
                <c:pt idx="6">
                  <c:v>GAP.MOD[{PROD}].WELL[{Well 2}].PREDRES[{01/01/1979}].WATRATE</c:v>
                </c:pt>
                <c:pt idx="11">
                  <c:v>Well 1</c:v>
                </c:pt>
                <c:pt idx="12">
                  <c:v>Date</c:v>
                </c:pt>
                <c:pt idx="13">
                  <c:v>date</c:v>
                </c:pt>
                <c:pt idx="14">
                  <c:v>31 Dec 1978</c:v>
                </c:pt>
              </c:strCache>
            </c:strRef>
          </c:cat>
          <c:val>
            <c:numRef>
              <c:f>'Get Multiple values'!$X$1:$X$15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26-4E6B-8FBD-950B38CCE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293248"/>
        <c:axId val="1074288672"/>
      </c:lineChart>
      <c:dateAx>
        <c:axId val="1074293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F2F2F2"/>
              </a:solidFill>
              <a:prstDash val="solid"/>
              <a:round/>
            </a:ln>
            <a:effectLst/>
          </c:spPr>
        </c:majorGridlines>
        <c:numFmt formatCode="dd\ mmm\ yyyy" sourceLinked="1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74288672"/>
        <c:crosses val="autoZero"/>
        <c:auto val="1"/>
        <c:lblOffset val="100"/>
        <c:baseTimeUnit val="months"/>
        <c:majorUnit val="2"/>
        <c:majorTimeUnit val="years"/>
      </c:dateAx>
      <c:valAx>
        <c:axId val="107428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2F2"/>
              </a:solidFill>
              <a:prstDash val="solid"/>
              <a:round/>
            </a:ln>
            <a:effectLst/>
          </c:spPr>
        </c:majorGridlines>
        <c:numFmt formatCode="#,##0.0" sourceLinked="1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7429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</xdr:row>
          <xdr:rowOff>133350</xdr:rowOff>
        </xdr:from>
        <xdr:to>
          <xdr:col>10</xdr:col>
          <xdr:colOff>47625</xdr:colOff>
          <xdr:row>4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5</xdr:row>
          <xdr:rowOff>104775</xdr:rowOff>
        </xdr:from>
        <xdr:to>
          <xdr:col>10</xdr:col>
          <xdr:colOff>19050</xdr:colOff>
          <xdr:row>8</xdr:row>
          <xdr:rowOff>133350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209550</xdr:colOff>
      <xdr:row>0</xdr:row>
      <xdr:rowOff>133350</xdr:rowOff>
    </xdr:from>
    <xdr:to>
      <xdr:col>26</xdr:col>
      <xdr:colOff>46478</xdr:colOff>
      <xdr:row>39</xdr:row>
      <xdr:rowOff>84957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71D65FE-7A02-294D-E633-5C9D89ECA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2325" y="133350"/>
          <a:ext cx="9171428" cy="61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7</xdr:row>
          <xdr:rowOff>9525</xdr:rowOff>
        </xdr:from>
        <xdr:to>
          <xdr:col>6</xdr:col>
          <xdr:colOff>504825</xdr:colOff>
          <xdr:row>10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504825</xdr:colOff>
      <xdr:row>1</xdr:row>
      <xdr:rowOff>28575</xdr:rowOff>
    </xdr:from>
    <xdr:to>
      <xdr:col>19</xdr:col>
      <xdr:colOff>332596</xdr:colOff>
      <xdr:row>27</xdr:row>
      <xdr:rowOff>18549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409C9E-DF74-5CDD-B432-56FA3729C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3825" y="295275"/>
          <a:ext cx="6228571" cy="40095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57150</xdr:colOff>
      <xdr:row>1</xdr:row>
      <xdr:rowOff>66675</xdr:rowOff>
    </xdr:from>
    <xdr:to>
      <xdr:col>39</xdr:col>
      <xdr:colOff>398874</xdr:colOff>
      <xdr:row>42</xdr:row>
      <xdr:rowOff>103844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91ADE8-FD2E-619B-E78B-D282909D0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20500" y="323850"/>
          <a:ext cx="9409524" cy="7447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66675</xdr:rowOff>
        </xdr:from>
        <xdr:to>
          <xdr:col>3</xdr:col>
          <xdr:colOff>66675</xdr:colOff>
          <xdr:row>10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100012</xdr:colOff>
      <xdr:row>0</xdr:row>
      <xdr:rowOff>71437</xdr:rowOff>
    </xdr:from>
    <xdr:to>
      <xdr:col>20</xdr:col>
      <xdr:colOff>428625</xdr:colOff>
      <xdr:row>10</xdr:row>
      <xdr:rowOff>242887</xdr:rowOff>
    </xdr:to>
    <xdr:graphicFrame macro="">
      <xdr:nvGraphicFramePr>
        <xdr:cNvPr id="3" name="GAP">
          <a:extLst>
            <a:ext uri="{FF2B5EF4-FFF2-40B4-BE49-F238E27FC236}">
              <a16:creationId xmlns:a16="http://schemas.microsoft.com/office/drawing/2014/main" id="{A1712A37-A4EC-AC9D-1DE8-61F41A4C0C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8</xdr:row>
          <xdr:rowOff>66675</xdr:rowOff>
        </xdr:from>
        <xdr:to>
          <xdr:col>6</xdr:col>
          <xdr:colOff>209550</xdr:colOff>
          <xdr:row>10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9CBFA22-4AD2-170D-2F5E-2F8A787A1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DE056-3264-48C2-9A3F-31F53D49845E}">
  <sheetPr codeName="Sheet1"/>
  <dimension ref="B1:G45"/>
  <sheetViews>
    <sheetView showGridLines="0" workbookViewId="0">
      <selection activeCell="B4" sqref="B4"/>
    </sheetView>
  </sheetViews>
  <sheetFormatPr defaultRowHeight="12" x14ac:dyDescent="0.2"/>
  <cols>
    <col min="1" max="1" width="2.5" customWidth="1"/>
    <col min="2" max="2" width="16.6640625" customWidth="1"/>
    <col min="3" max="14" width="12.83203125" customWidth="1"/>
  </cols>
  <sheetData>
    <row r="1" spans="2:7" ht="21" x14ac:dyDescent="0.35">
      <c r="B1" s="11" t="s">
        <v>4</v>
      </c>
    </row>
    <row r="3" spans="2:7" ht="15.75" x14ac:dyDescent="0.25">
      <c r="B3" s="8" t="s">
        <v>28</v>
      </c>
      <c r="C3" s="2"/>
      <c r="D3" s="2"/>
      <c r="E3" s="2"/>
      <c r="F3" s="2"/>
      <c r="G3" s="3"/>
    </row>
    <row r="4" spans="2:7" ht="12.75" x14ac:dyDescent="0.2">
      <c r="B4" s="9" t="s">
        <v>0</v>
      </c>
      <c r="C4" s="4" t="str">
        <f>CONCATENATE("GAP.MOD[{PROD}].INLCHK[{",C8,"}].ChokeDiameter")</f>
        <v>GAP.MOD[{PROD}].INLCHK[{Well 1_CK}].ChokeDiameter</v>
      </c>
      <c r="G4" s="5"/>
    </row>
    <row r="5" spans="2:7" ht="15" x14ac:dyDescent="0.25">
      <c r="B5" s="9" t="s">
        <v>1</v>
      </c>
      <c r="C5" s="13">
        <v>0.2</v>
      </c>
      <c r="G5" s="5"/>
    </row>
    <row r="6" spans="2:7" ht="15" x14ac:dyDescent="0.25">
      <c r="B6" s="10" t="s">
        <v>5</v>
      </c>
      <c r="C6" s="12" t="s">
        <v>6</v>
      </c>
      <c r="D6" s="6"/>
      <c r="E6" s="6"/>
      <c r="F6" s="6"/>
      <c r="G6" s="7"/>
    </row>
    <row r="8" spans="2:7" x14ac:dyDescent="0.2">
      <c r="B8" t="s">
        <v>2</v>
      </c>
      <c r="C8" t="s">
        <v>3</v>
      </c>
    </row>
    <row r="34" spans="2:2" x14ac:dyDescent="0.2">
      <c r="B34" s="1"/>
    </row>
    <row r="35" spans="2:2" x14ac:dyDescent="0.2">
      <c r="B35" s="1"/>
    </row>
    <row r="36" spans="2:2" x14ac:dyDescent="0.2">
      <c r="B36" s="1"/>
    </row>
    <row r="37" spans="2:2" x14ac:dyDescent="0.2">
      <c r="B37" s="1"/>
    </row>
    <row r="38" spans="2:2" x14ac:dyDescent="0.2">
      <c r="B38" s="1"/>
    </row>
    <row r="39" spans="2:2" x14ac:dyDescent="0.2">
      <c r="B39" s="1"/>
    </row>
    <row r="40" spans="2:2" x14ac:dyDescent="0.2">
      <c r="B40" s="1"/>
    </row>
    <row r="41" spans="2:2" x14ac:dyDescent="0.2">
      <c r="B41" s="1"/>
    </row>
    <row r="42" spans="2:2" x14ac:dyDescent="0.2">
      <c r="B42" s="1"/>
    </row>
    <row r="43" spans="2:2" x14ac:dyDescent="0.2">
      <c r="B43" s="1"/>
    </row>
    <row r="44" spans="2:2" x14ac:dyDescent="0.2">
      <c r="B44" s="1"/>
    </row>
    <row r="45" spans="2:2" x14ac:dyDescent="0.2">
      <c r="B45" s="1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7</xdr:col>
                <xdr:colOff>209550</xdr:colOff>
                <xdr:row>5</xdr:row>
                <xdr:rowOff>104775</xdr:rowOff>
              </from>
              <to>
                <xdr:col>10</xdr:col>
                <xdr:colOff>19050</xdr:colOff>
                <xdr:row>8</xdr:row>
                <xdr:rowOff>133350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7</xdr:col>
                <xdr:colOff>238125</xdr:colOff>
                <xdr:row>1</xdr:row>
                <xdr:rowOff>133350</xdr:rowOff>
              </from>
              <to>
                <xdr:col>10</xdr:col>
                <xdr:colOff>47625</xdr:colOff>
                <xdr:row>4</xdr:row>
                <xdr:rowOff>142875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BD8D8-3DB0-4441-9557-2577A3C2C41F}">
  <sheetPr codeName="Sheet2"/>
  <dimension ref="B1:G12"/>
  <sheetViews>
    <sheetView showGridLines="0" workbookViewId="0">
      <selection activeCell="B10" sqref="B10:B12"/>
    </sheetView>
  </sheetViews>
  <sheetFormatPr defaultRowHeight="12" x14ac:dyDescent="0.2"/>
  <cols>
    <col min="1" max="1" width="4" customWidth="1"/>
  </cols>
  <sheetData>
    <row r="1" spans="2:7" ht="21" x14ac:dyDescent="0.35">
      <c r="B1" s="11" t="s">
        <v>7</v>
      </c>
    </row>
    <row r="3" spans="2:7" ht="15.75" x14ac:dyDescent="0.25">
      <c r="B3" s="8" t="s">
        <v>28</v>
      </c>
      <c r="C3" s="2"/>
      <c r="D3" s="2"/>
      <c r="E3" s="2"/>
      <c r="F3" s="2"/>
      <c r="G3" s="3"/>
    </row>
    <row r="4" spans="2:7" ht="12.75" x14ac:dyDescent="0.2">
      <c r="B4" s="14" t="s">
        <v>0</v>
      </c>
      <c r="C4" s="15" t="s">
        <v>10</v>
      </c>
      <c r="D4" s="16"/>
      <c r="E4" s="16"/>
      <c r="F4" s="16"/>
      <c r="G4" s="17"/>
    </row>
    <row r="5" spans="2:7" x14ac:dyDescent="0.2">
      <c r="B5" s="10" t="s">
        <v>1</v>
      </c>
      <c r="C5" s="18" t="s">
        <v>9</v>
      </c>
      <c r="D5" s="6"/>
      <c r="E5" s="6"/>
      <c r="F5" s="6"/>
      <c r="G5" s="7"/>
    </row>
    <row r="8" spans="2:7" x14ac:dyDescent="0.2">
      <c r="B8" s="19" t="s">
        <v>14</v>
      </c>
    </row>
    <row r="9" spans="2:7" x14ac:dyDescent="0.2">
      <c r="B9" s="20" t="s">
        <v>15</v>
      </c>
    </row>
    <row r="10" spans="2:7" x14ac:dyDescent="0.2">
      <c r="B10" t="s">
        <v>11</v>
      </c>
    </row>
    <row r="11" spans="2:7" x14ac:dyDescent="0.2">
      <c r="B11" t="s">
        <v>12</v>
      </c>
    </row>
    <row r="12" spans="2:7" x14ac:dyDescent="0.2">
      <c r="B12" t="s">
        <v>13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428625</xdr:colOff>
                <xdr:row>7</xdr:row>
                <xdr:rowOff>9525</xdr:rowOff>
              </from>
              <to>
                <xdr:col>6</xdr:col>
                <xdr:colOff>504825</xdr:colOff>
                <xdr:row>10</xdr:row>
                <xdr:rowOff>38100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12DC0-C173-45EA-9FF4-A1C47640879F}">
  <sheetPr codeName="Sheet3"/>
  <dimension ref="A1:U44"/>
  <sheetViews>
    <sheetView showGridLines="0" tabSelected="1" workbookViewId="0">
      <selection activeCell="K26" sqref="K26"/>
    </sheetView>
  </sheetViews>
  <sheetFormatPr defaultRowHeight="12" x14ac:dyDescent="0.2"/>
  <cols>
    <col min="1" max="1" width="1.83203125" customWidth="1"/>
    <col min="2" max="2" width="15.6640625" style="23" customWidth="1"/>
    <col min="8" max="8" width="2.5" customWidth="1"/>
    <col min="9" max="9" width="15.6640625" style="23" customWidth="1"/>
    <col min="15" max="15" width="2.5" customWidth="1"/>
    <col min="16" max="16" width="15.6640625" style="23" customWidth="1"/>
    <col min="17" max="21" width="9.1640625" customWidth="1"/>
  </cols>
  <sheetData>
    <row r="1" spans="1:21" ht="20.25" customHeight="1" x14ac:dyDescent="0.25">
      <c r="A1" s="35"/>
      <c r="B1" s="32" t="s">
        <v>27</v>
      </c>
      <c r="C1" s="33"/>
      <c r="D1" s="33"/>
      <c r="E1" s="33"/>
      <c r="F1" s="33"/>
      <c r="G1" s="34"/>
    </row>
    <row r="2" spans="1:21" ht="20.25" customHeight="1" x14ac:dyDescent="0.2">
      <c r="B2" s="29" t="s">
        <v>22</v>
      </c>
      <c r="C2" s="16"/>
      <c r="D2" s="16"/>
      <c r="E2" s="16"/>
      <c r="F2" s="16"/>
      <c r="G2" s="17"/>
    </row>
    <row r="3" spans="1:21" ht="20.25" customHeight="1" x14ac:dyDescent="0.2">
      <c r="B3" s="30" t="s">
        <v>8</v>
      </c>
      <c r="G3" s="5"/>
    </row>
    <row r="4" spans="1:21" ht="20.25" customHeight="1" x14ac:dyDescent="0.2">
      <c r="B4" s="30" t="s">
        <v>23</v>
      </c>
      <c r="G4" s="5"/>
    </row>
    <row r="5" spans="1:21" ht="20.25" customHeight="1" x14ac:dyDescent="0.2">
      <c r="B5" s="30" t="s">
        <v>24</v>
      </c>
      <c r="G5" s="5"/>
    </row>
    <row r="6" spans="1:21" ht="20.25" customHeight="1" x14ac:dyDescent="0.2">
      <c r="B6" s="30" t="s">
        <v>25</v>
      </c>
      <c r="G6" s="5"/>
    </row>
    <row r="7" spans="1:21" ht="20.25" customHeight="1" x14ac:dyDescent="0.2">
      <c r="B7" s="31" t="s">
        <v>26</v>
      </c>
      <c r="C7" s="6"/>
      <c r="D7" s="6"/>
      <c r="E7" s="6"/>
      <c r="F7" s="6"/>
      <c r="G7" s="7"/>
    </row>
    <row r="8" spans="1:21" ht="20.25" customHeight="1" x14ac:dyDescent="0.2">
      <c r="B8" s="28"/>
    </row>
    <row r="9" spans="1:21" ht="20.25" customHeight="1" x14ac:dyDescent="0.2"/>
    <row r="10" spans="1:21" ht="20.25" customHeight="1" x14ac:dyDescent="0.2"/>
    <row r="11" spans="1:21" ht="20.25" customHeight="1" x14ac:dyDescent="0.2"/>
    <row r="12" spans="1:21" ht="21" x14ac:dyDescent="0.35">
      <c r="B12" s="26" t="str">
        <f>+DoGet!B10</f>
        <v>Well 1</v>
      </c>
      <c r="I12" s="26" t="str">
        <f>+DoGet!B11</f>
        <v>Well 2</v>
      </c>
      <c r="P12" s="26" t="str">
        <f>+DoGet!B12</f>
        <v>Python_1</v>
      </c>
    </row>
    <row r="13" spans="1:21" x14ac:dyDescent="0.2">
      <c r="B13" s="24" t="s">
        <v>16</v>
      </c>
      <c r="C13" s="21" t="s">
        <v>17</v>
      </c>
      <c r="D13" s="21" t="s">
        <v>21</v>
      </c>
      <c r="E13" s="21" t="s">
        <v>18</v>
      </c>
      <c r="F13" s="21" t="s">
        <v>19</v>
      </c>
      <c r="G13" s="22" t="s">
        <v>20</v>
      </c>
      <c r="I13" s="24" t="s">
        <v>16</v>
      </c>
      <c r="J13" s="21" t="s">
        <v>17</v>
      </c>
      <c r="K13" s="21" t="s">
        <v>21</v>
      </c>
      <c r="L13" s="21" t="s">
        <v>18</v>
      </c>
      <c r="M13" s="21" t="s">
        <v>19</v>
      </c>
      <c r="N13" s="22" t="s">
        <v>20</v>
      </c>
      <c r="P13" s="24" t="s">
        <v>16</v>
      </c>
      <c r="Q13" s="21" t="s">
        <v>17</v>
      </c>
      <c r="R13" s="21" t="s">
        <v>21</v>
      </c>
      <c r="S13" s="21" t="s">
        <v>18</v>
      </c>
      <c r="T13" s="21" t="s">
        <v>19</v>
      </c>
      <c r="U13" s="22" t="s">
        <v>20</v>
      </c>
    </row>
    <row r="14" spans="1:21" x14ac:dyDescent="0.2">
      <c r="B14" s="36" t="s">
        <v>29</v>
      </c>
      <c r="C14" s="37" t="s">
        <v>30</v>
      </c>
      <c r="D14" s="37" t="s">
        <v>30</v>
      </c>
      <c r="E14" s="37" t="s">
        <v>31</v>
      </c>
      <c r="F14" s="37" t="s">
        <v>32</v>
      </c>
      <c r="G14" s="38" t="s">
        <v>32</v>
      </c>
      <c r="H14" s="39"/>
      <c r="I14" s="36" t="s">
        <v>29</v>
      </c>
      <c r="J14" s="37" t="s">
        <v>30</v>
      </c>
      <c r="K14" s="37" t="s">
        <v>30</v>
      </c>
      <c r="L14" s="37" t="s">
        <v>31</v>
      </c>
      <c r="M14" s="37" t="s">
        <v>32</v>
      </c>
      <c r="N14" s="38" t="s">
        <v>32</v>
      </c>
      <c r="O14" s="39"/>
      <c r="P14" s="36" t="s">
        <v>29</v>
      </c>
      <c r="Q14" s="37" t="s">
        <v>30</v>
      </c>
      <c r="R14" s="37" t="s">
        <v>30</v>
      </c>
      <c r="S14" s="37" t="s">
        <v>31</v>
      </c>
      <c r="T14" s="37" t="s">
        <v>32</v>
      </c>
      <c r="U14" s="38" t="s">
        <v>32</v>
      </c>
    </row>
    <row r="15" spans="1:21" x14ac:dyDescent="0.2">
      <c r="B15" s="25">
        <v>28855</v>
      </c>
      <c r="C15" s="27">
        <v>6122.19</v>
      </c>
      <c r="D15" s="27">
        <v>3509.4</v>
      </c>
      <c r="E15" s="27">
        <v>18.9116</v>
      </c>
      <c r="F15" s="27">
        <v>75.6464</v>
      </c>
      <c r="G15" s="27">
        <v>18.9116</v>
      </c>
      <c r="I15" s="25">
        <v>28855</v>
      </c>
      <c r="J15" s="1">
        <v>6166.97</v>
      </c>
      <c r="K15" s="1">
        <v>3111.2</v>
      </c>
      <c r="L15" s="1">
        <v>16.761600000000001</v>
      </c>
      <c r="M15" s="1">
        <v>67.046300000000002</v>
      </c>
      <c r="N15" s="1">
        <v>81.295400000000001</v>
      </c>
      <c r="P15" s="25">
        <v>28855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</row>
    <row r="16" spans="1:21" x14ac:dyDescent="0.2">
      <c r="B16" s="25">
        <v>29220</v>
      </c>
      <c r="C16" s="27">
        <v>6001.48</v>
      </c>
      <c r="D16" s="27">
        <v>3309.89</v>
      </c>
      <c r="E16" s="27">
        <v>17.892099999999999</v>
      </c>
      <c r="F16" s="27">
        <v>71.568399999999997</v>
      </c>
      <c r="G16" s="27">
        <v>35.784199999999998</v>
      </c>
      <c r="I16" s="25">
        <v>29220</v>
      </c>
      <c r="J16" s="1">
        <v>6034.65</v>
      </c>
      <c r="K16" s="1">
        <v>3025.07</v>
      </c>
      <c r="L16" s="1">
        <v>16.331299999999999</v>
      </c>
      <c r="M16" s="1">
        <v>65.325400000000002</v>
      </c>
      <c r="N16" s="1">
        <v>79.475899999999996</v>
      </c>
      <c r="P16" s="25">
        <v>29220</v>
      </c>
      <c r="Q16" s="1">
        <v>5721.17</v>
      </c>
      <c r="R16" s="1">
        <v>4067.51</v>
      </c>
      <c r="S16" s="1">
        <v>21.293299999999999</v>
      </c>
      <c r="T16" s="1">
        <v>85.173000000000002</v>
      </c>
      <c r="U16" s="1">
        <v>42.586500000000001</v>
      </c>
    </row>
    <row r="17" spans="2:21" x14ac:dyDescent="0.2">
      <c r="B17" s="25">
        <v>29586</v>
      </c>
      <c r="C17" s="27">
        <v>5811.2</v>
      </c>
      <c r="D17" s="27">
        <v>3073.12</v>
      </c>
      <c r="E17" s="27">
        <v>16.7059</v>
      </c>
      <c r="F17" s="27">
        <v>66.823700000000002</v>
      </c>
      <c r="G17" s="27">
        <v>50.163600000000002</v>
      </c>
      <c r="I17" s="25">
        <v>29586</v>
      </c>
      <c r="J17" s="1">
        <v>5833.43</v>
      </c>
      <c r="K17" s="1">
        <v>2890.85</v>
      </c>
      <c r="L17" s="1">
        <v>15.6934</v>
      </c>
      <c r="M17" s="1">
        <v>62.773499999999999</v>
      </c>
      <c r="N17" s="1">
        <v>76.787000000000006</v>
      </c>
      <c r="P17" s="25">
        <v>29586</v>
      </c>
      <c r="Q17" s="1">
        <v>5522.05</v>
      </c>
      <c r="R17" s="1">
        <v>3886.59</v>
      </c>
      <c r="S17" s="1">
        <v>20.424600000000002</v>
      </c>
      <c r="T17" s="1">
        <v>81.698499999999996</v>
      </c>
      <c r="U17" s="1">
        <v>61.329900000000002</v>
      </c>
    </row>
    <row r="18" spans="2:21" x14ac:dyDescent="0.2">
      <c r="B18" s="25">
        <v>29951</v>
      </c>
      <c r="C18" s="27">
        <v>5637.55</v>
      </c>
      <c r="D18" s="27">
        <v>2855.13</v>
      </c>
      <c r="E18" s="27">
        <v>15.583</v>
      </c>
      <c r="F18" s="27">
        <v>62.331899999999997</v>
      </c>
      <c r="G18" s="27">
        <v>62.374600000000001</v>
      </c>
      <c r="I18" s="25">
        <v>29951</v>
      </c>
      <c r="J18" s="1">
        <v>5648.49</v>
      </c>
      <c r="K18" s="1">
        <v>2768.34</v>
      </c>
      <c r="L18" s="1">
        <v>15.099500000000001</v>
      </c>
      <c r="M18" s="1">
        <v>60.397799999999997</v>
      </c>
      <c r="N18" s="1">
        <v>74.262600000000006</v>
      </c>
      <c r="P18" s="25">
        <v>29951</v>
      </c>
      <c r="Q18" s="1">
        <v>5339.06</v>
      </c>
      <c r="R18" s="1">
        <v>3723.78</v>
      </c>
      <c r="S18" s="1">
        <v>19.625699999999998</v>
      </c>
      <c r="T18" s="1">
        <v>78.502600000000001</v>
      </c>
      <c r="U18" s="1">
        <v>78.556399999999996</v>
      </c>
    </row>
    <row r="19" spans="2:21" x14ac:dyDescent="0.2">
      <c r="B19" s="25">
        <v>30316</v>
      </c>
      <c r="C19" s="27">
        <v>5477.88</v>
      </c>
      <c r="D19" s="27">
        <v>2656.94</v>
      </c>
      <c r="E19" s="27">
        <v>14.5336</v>
      </c>
      <c r="F19" s="27">
        <v>58.134300000000003</v>
      </c>
      <c r="G19" s="27">
        <v>72.707599999999999</v>
      </c>
      <c r="I19" s="25">
        <v>30316</v>
      </c>
      <c r="J19" s="1">
        <v>5477.04</v>
      </c>
      <c r="K19" s="1">
        <v>2661.29</v>
      </c>
      <c r="L19" s="1">
        <v>14.569699999999999</v>
      </c>
      <c r="M19" s="1">
        <v>58.2789</v>
      </c>
      <c r="N19" s="1">
        <v>72.011300000000006</v>
      </c>
      <c r="P19" s="25">
        <v>30316</v>
      </c>
      <c r="Q19" s="1">
        <v>5169.99</v>
      </c>
      <c r="R19" s="1">
        <v>3576.86</v>
      </c>
      <c r="S19" s="1">
        <v>18.887499999999999</v>
      </c>
      <c r="T19" s="1">
        <v>75.549800000000005</v>
      </c>
      <c r="U19" s="1">
        <v>94.489000000000004</v>
      </c>
    </row>
    <row r="20" spans="2:21" x14ac:dyDescent="0.2">
      <c r="B20" s="25">
        <v>30623</v>
      </c>
      <c r="C20" s="27">
        <v>5352.82</v>
      </c>
      <c r="D20" s="27">
        <v>2510.38</v>
      </c>
      <c r="E20" s="27">
        <v>13.741199999999999</v>
      </c>
      <c r="F20" s="27">
        <v>54.9649</v>
      </c>
      <c r="G20" s="27">
        <v>80.301400000000001</v>
      </c>
      <c r="I20" s="25">
        <v>30623</v>
      </c>
      <c r="J20" s="1">
        <v>5342.63</v>
      </c>
      <c r="K20" s="1">
        <v>2580.94</v>
      </c>
      <c r="L20" s="1">
        <v>14.169</v>
      </c>
      <c r="M20" s="1">
        <v>56.676099999999998</v>
      </c>
      <c r="N20" s="1">
        <v>70.309200000000004</v>
      </c>
      <c r="P20" s="25">
        <v>30623</v>
      </c>
      <c r="Q20" s="1">
        <v>5037.76</v>
      </c>
      <c r="R20" s="1">
        <v>3463.78</v>
      </c>
      <c r="S20" s="1">
        <v>18.314</v>
      </c>
      <c r="T20" s="1">
        <v>73.256</v>
      </c>
      <c r="U20" s="1">
        <v>107.024</v>
      </c>
    </row>
    <row r="21" spans="2:21" x14ac:dyDescent="0.2">
      <c r="B21" s="25">
        <v>30681</v>
      </c>
      <c r="C21" s="27">
        <v>5330.38</v>
      </c>
      <c r="D21" s="27">
        <v>2484.64</v>
      </c>
      <c r="E21" s="27">
        <v>13.600099999999999</v>
      </c>
      <c r="F21" s="27">
        <v>54.400399999999998</v>
      </c>
      <c r="G21" s="27">
        <v>81.637799999999999</v>
      </c>
      <c r="I21" s="25">
        <v>30681</v>
      </c>
      <c r="J21" s="1">
        <v>5318.46</v>
      </c>
      <c r="K21" s="1">
        <v>2566.84</v>
      </c>
      <c r="L21" s="1">
        <v>14.098000000000001</v>
      </c>
      <c r="M21" s="1">
        <v>56.392000000000003</v>
      </c>
      <c r="N21" s="1">
        <v>70.006699999999995</v>
      </c>
      <c r="P21" s="25">
        <v>30681</v>
      </c>
      <c r="Q21" s="1">
        <v>5014.0600000000004</v>
      </c>
      <c r="R21" s="1">
        <v>3443.55</v>
      </c>
      <c r="S21" s="1">
        <v>18.21</v>
      </c>
      <c r="T21" s="1">
        <v>72.839799999999997</v>
      </c>
      <c r="U21" s="1">
        <v>109.31</v>
      </c>
    </row>
    <row r="22" spans="2:21" x14ac:dyDescent="0.2">
      <c r="B22" s="25">
        <v>31047</v>
      </c>
      <c r="C22" s="27">
        <v>5193.71</v>
      </c>
      <c r="D22" s="27">
        <v>2313.9499999999998</v>
      </c>
      <c r="E22" s="27">
        <v>12.667</v>
      </c>
      <c r="F22" s="27">
        <v>50.668199999999999</v>
      </c>
      <c r="G22" s="27">
        <v>88.738699999999994</v>
      </c>
      <c r="I22" s="25">
        <v>31047</v>
      </c>
      <c r="J22" s="1">
        <v>5169.1499999999996</v>
      </c>
      <c r="K22" s="1">
        <v>2481.63</v>
      </c>
      <c r="L22" s="1">
        <v>13.666399999999999</v>
      </c>
      <c r="M22" s="1">
        <v>54.665399999999998</v>
      </c>
      <c r="N22" s="1">
        <v>68.1755</v>
      </c>
      <c r="P22" s="25">
        <v>31047</v>
      </c>
      <c r="Q22" s="1">
        <v>4867.8599999999997</v>
      </c>
      <c r="R22" s="1">
        <v>3319.23</v>
      </c>
      <c r="S22" s="1">
        <v>17.569099999999999</v>
      </c>
      <c r="T22" s="1">
        <v>70.276499999999999</v>
      </c>
      <c r="U22" s="1">
        <v>123.08</v>
      </c>
    </row>
    <row r="23" spans="2:21" x14ac:dyDescent="0.2">
      <c r="B23" s="25">
        <v>31081</v>
      </c>
      <c r="C23" s="27">
        <v>5182.34</v>
      </c>
      <c r="D23" s="27">
        <v>2296.4499999999998</v>
      </c>
      <c r="E23" s="27">
        <v>12.5617</v>
      </c>
      <c r="F23" s="27">
        <v>50.246699999999997</v>
      </c>
      <c r="G23" s="27">
        <v>89.170699999999997</v>
      </c>
      <c r="I23" s="25">
        <v>31081</v>
      </c>
      <c r="J23" s="1">
        <v>5156.2</v>
      </c>
      <c r="K23" s="1">
        <v>2475.1999999999998</v>
      </c>
      <c r="L23" s="1">
        <v>13.623100000000001</v>
      </c>
      <c r="M23" s="1">
        <v>54.492400000000004</v>
      </c>
      <c r="N23" s="1">
        <v>67.987099999999998</v>
      </c>
      <c r="P23" s="25">
        <v>31081</v>
      </c>
      <c r="Q23" s="1">
        <v>4512.71</v>
      </c>
      <c r="R23" s="1">
        <v>3044.5</v>
      </c>
      <c r="S23" s="1">
        <v>26.450700000000001</v>
      </c>
      <c r="T23" s="1">
        <v>105.803</v>
      </c>
      <c r="U23" s="1">
        <v>187.76400000000001</v>
      </c>
    </row>
    <row r="24" spans="2:21" x14ac:dyDescent="0.2">
      <c r="B24" s="25">
        <v>31293</v>
      </c>
      <c r="C24" s="27">
        <v>5094.91</v>
      </c>
      <c r="D24" s="27">
        <v>2179.4699999999998</v>
      </c>
      <c r="E24" s="27">
        <v>11.9224</v>
      </c>
      <c r="F24" s="27">
        <v>47.689799999999998</v>
      </c>
      <c r="G24" s="27">
        <v>91.557900000000004</v>
      </c>
      <c r="I24" s="25">
        <v>31293</v>
      </c>
      <c r="J24" s="1">
        <v>5059.2</v>
      </c>
      <c r="K24" s="1">
        <v>2422.06</v>
      </c>
      <c r="L24" s="1">
        <v>13.3474</v>
      </c>
      <c r="M24" s="1">
        <v>53.389600000000002</v>
      </c>
      <c r="N24" s="1">
        <v>66.814300000000003</v>
      </c>
      <c r="P24" s="25">
        <v>31293</v>
      </c>
      <c r="Q24" s="1">
        <v>4407.28</v>
      </c>
      <c r="R24" s="1">
        <v>2959.33</v>
      </c>
      <c r="S24" s="1">
        <v>26.1144</v>
      </c>
      <c r="T24" s="1">
        <v>104.458</v>
      </c>
      <c r="U24" s="1">
        <v>200.54499999999999</v>
      </c>
    </row>
    <row r="25" spans="2:21" x14ac:dyDescent="0.2">
      <c r="B25" s="25">
        <v>31412</v>
      </c>
      <c r="C25" s="27">
        <v>5046.67</v>
      </c>
      <c r="D25" s="27">
        <v>2125</v>
      </c>
      <c r="E25" s="27">
        <v>11.6197</v>
      </c>
      <c r="F25" s="27">
        <v>46.4788</v>
      </c>
      <c r="G25" s="27">
        <v>93.021299999999997</v>
      </c>
      <c r="I25" s="25">
        <v>31412</v>
      </c>
      <c r="J25" s="1">
        <v>5006.67</v>
      </c>
      <c r="K25" s="1">
        <v>2393.7399999999998</v>
      </c>
      <c r="L25" s="1">
        <v>13.2005</v>
      </c>
      <c r="M25" s="1">
        <v>52.802100000000003</v>
      </c>
      <c r="N25" s="1">
        <v>66.19</v>
      </c>
      <c r="P25" s="25">
        <v>31412</v>
      </c>
      <c r="Q25" s="1">
        <v>4357.3</v>
      </c>
      <c r="R25" s="1">
        <v>2919.27</v>
      </c>
      <c r="S25" s="1">
        <v>25.757100000000001</v>
      </c>
      <c r="T25" s="1">
        <v>103.02800000000001</v>
      </c>
      <c r="U25" s="1">
        <v>206.19800000000001</v>
      </c>
    </row>
    <row r="26" spans="2:21" x14ac:dyDescent="0.2">
      <c r="B26" s="25">
        <v>31777</v>
      </c>
      <c r="C26" s="27">
        <v>4900.1499999999996</v>
      </c>
      <c r="D26" s="27">
        <v>1993.56</v>
      </c>
      <c r="E26" s="27">
        <v>10.8804</v>
      </c>
      <c r="F26" s="27">
        <v>43.521700000000003</v>
      </c>
      <c r="G26" s="27">
        <v>97.983500000000006</v>
      </c>
      <c r="I26" s="25">
        <v>31777</v>
      </c>
      <c r="J26" s="1">
        <v>4852.75</v>
      </c>
      <c r="K26" s="1">
        <v>2296.1999999999998</v>
      </c>
      <c r="L26" s="1">
        <v>12.6998</v>
      </c>
      <c r="M26" s="1">
        <v>50.799100000000003</v>
      </c>
      <c r="N26" s="1">
        <v>64.011899999999997</v>
      </c>
      <c r="P26" s="25">
        <v>31777</v>
      </c>
      <c r="Q26" s="1">
        <v>4209.2299999999996</v>
      </c>
      <c r="R26" s="1">
        <v>2801.14</v>
      </c>
      <c r="S26" s="1">
        <v>24.706399999999999</v>
      </c>
      <c r="T26" s="1">
        <v>98.825599999999994</v>
      </c>
      <c r="U26" s="1">
        <v>222.49299999999999</v>
      </c>
    </row>
    <row r="27" spans="2:21" x14ac:dyDescent="0.2">
      <c r="B27" s="25">
        <v>32142</v>
      </c>
      <c r="C27" s="27">
        <v>4760.96</v>
      </c>
      <c r="D27" s="27">
        <v>1898.22</v>
      </c>
      <c r="E27" s="27">
        <v>10.325100000000001</v>
      </c>
      <c r="F27" s="27">
        <v>41.300400000000003</v>
      </c>
      <c r="G27" s="27">
        <v>103.30800000000001</v>
      </c>
      <c r="I27" s="25">
        <v>32142</v>
      </c>
      <c r="J27" s="1">
        <v>4711.09</v>
      </c>
      <c r="K27" s="1">
        <v>2197.86</v>
      </c>
      <c r="L27" s="1">
        <v>12.185700000000001</v>
      </c>
      <c r="M27" s="1">
        <v>48.742800000000003</v>
      </c>
      <c r="N27" s="1">
        <v>61.734999999999999</v>
      </c>
      <c r="P27" s="25">
        <v>32142</v>
      </c>
      <c r="Q27" s="1">
        <v>4072.26</v>
      </c>
      <c r="R27" s="1">
        <v>2692.46</v>
      </c>
      <c r="S27" s="1">
        <v>23.7272</v>
      </c>
      <c r="T27" s="1">
        <v>94.908799999999999</v>
      </c>
      <c r="U27" s="1">
        <v>237.40199999999999</v>
      </c>
    </row>
    <row r="28" spans="2:21" x14ac:dyDescent="0.2">
      <c r="B28" s="25">
        <v>32450</v>
      </c>
      <c r="C28" s="27">
        <v>4649.62</v>
      </c>
      <c r="D28" s="27">
        <v>1835.69</v>
      </c>
      <c r="E28" s="27">
        <v>9.9489900000000002</v>
      </c>
      <c r="F28" s="27">
        <v>39.795999999999999</v>
      </c>
      <c r="G28" s="27">
        <v>107.94</v>
      </c>
      <c r="I28" s="25">
        <v>32450</v>
      </c>
      <c r="J28" s="1">
        <v>4598.76</v>
      </c>
      <c r="K28" s="1">
        <v>2126.15</v>
      </c>
      <c r="L28" s="1">
        <v>11.8027</v>
      </c>
      <c r="M28" s="1">
        <v>47.210999999999999</v>
      </c>
      <c r="N28" s="1">
        <v>60.047199999999997</v>
      </c>
      <c r="P28" s="25">
        <v>32450</v>
      </c>
      <c r="Q28" s="1">
        <v>3809.08</v>
      </c>
      <c r="R28" s="1">
        <v>2481.35</v>
      </c>
      <c r="S28" s="1">
        <v>26.332100000000001</v>
      </c>
      <c r="T28" s="1">
        <v>105.328</v>
      </c>
      <c r="U28" s="1">
        <v>285.685</v>
      </c>
    </row>
    <row r="29" spans="2:21" x14ac:dyDescent="0.2">
      <c r="B29" s="25">
        <v>32508</v>
      </c>
      <c r="C29" s="27">
        <v>4627.8500000000004</v>
      </c>
      <c r="D29" s="27">
        <v>1824.81</v>
      </c>
      <c r="E29" s="27">
        <v>9.8846399999999992</v>
      </c>
      <c r="F29" s="27">
        <v>39.538600000000002</v>
      </c>
      <c r="G29" s="27">
        <v>108.812</v>
      </c>
      <c r="I29" s="25">
        <v>32508</v>
      </c>
      <c r="J29" s="1">
        <v>4576.88</v>
      </c>
      <c r="K29" s="1">
        <v>2113.0500000000002</v>
      </c>
      <c r="L29" s="1">
        <v>11.7341</v>
      </c>
      <c r="M29" s="1">
        <v>46.936300000000003</v>
      </c>
      <c r="N29" s="1">
        <v>59.746899999999997</v>
      </c>
      <c r="P29" s="25">
        <v>32508</v>
      </c>
      <c r="Q29" s="1">
        <v>3788.53</v>
      </c>
      <c r="R29" s="1">
        <v>2465.56</v>
      </c>
      <c r="S29" s="1">
        <v>26.1587</v>
      </c>
      <c r="T29" s="1">
        <v>104.63500000000001</v>
      </c>
      <c r="U29" s="1">
        <v>287.96100000000001</v>
      </c>
    </row>
    <row r="30" spans="2:21" x14ac:dyDescent="0.2">
      <c r="B30" s="25">
        <v>32616</v>
      </c>
      <c r="C30" s="27">
        <v>4627.8500000000004</v>
      </c>
      <c r="D30" s="27">
        <v>1824.81</v>
      </c>
      <c r="E30" s="27">
        <v>9.8846399999999992</v>
      </c>
      <c r="F30" s="27">
        <v>39.538600000000002</v>
      </c>
      <c r="G30" s="27">
        <v>108.812</v>
      </c>
      <c r="I30" s="25">
        <v>32616</v>
      </c>
      <c r="J30" s="1">
        <v>4576.88</v>
      </c>
      <c r="K30" s="1">
        <v>2113.0500000000002</v>
      </c>
      <c r="L30" s="1">
        <v>11.7341</v>
      </c>
      <c r="M30" s="1">
        <v>46.936300000000003</v>
      </c>
      <c r="N30" s="1">
        <v>59.746899999999997</v>
      </c>
      <c r="P30" s="25">
        <v>32616</v>
      </c>
      <c r="Q30" s="1">
        <v>3788.53</v>
      </c>
      <c r="R30" s="1">
        <v>2465.56</v>
      </c>
      <c r="S30" s="1">
        <v>26.1587</v>
      </c>
      <c r="T30" s="1">
        <v>104.63500000000001</v>
      </c>
      <c r="U30" s="1">
        <v>287.96100000000001</v>
      </c>
    </row>
    <row r="31" spans="2:21" x14ac:dyDescent="0.2">
      <c r="B31" s="25"/>
      <c r="C31" s="27"/>
      <c r="D31" s="27"/>
      <c r="E31" s="27"/>
      <c r="F31" s="27"/>
      <c r="G31" s="27"/>
      <c r="I31" s="25"/>
      <c r="J31" s="1"/>
      <c r="K31" s="1"/>
      <c r="L31" s="1"/>
      <c r="M31" s="1"/>
      <c r="N31" s="1"/>
      <c r="P31" s="25"/>
      <c r="Q31" s="1"/>
      <c r="R31" s="1"/>
      <c r="S31" s="1"/>
      <c r="T31" s="1"/>
      <c r="U31" s="1"/>
    </row>
    <row r="32" spans="2:21" x14ac:dyDescent="0.2">
      <c r="B32" s="25"/>
      <c r="C32" s="27"/>
      <c r="D32" s="27"/>
      <c r="E32" s="27"/>
      <c r="F32" s="27"/>
      <c r="G32" s="27"/>
      <c r="I32" s="25"/>
      <c r="J32" s="1"/>
      <c r="K32" s="1"/>
      <c r="L32" s="1"/>
      <c r="M32" s="1"/>
      <c r="N32" s="1"/>
      <c r="P32" s="25"/>
      <c r="Q32" s="1"/>
      <c r="R32" s="1"/>
      <c r="S32" s="1"/>
      <c r="T32" s="1"/>
      <c r="U32" s="1"/>
    </row>
    <row r="33" spans="2:21" x14ac:dyDescent="0.2">
      <c r="B33" s="25"/>
      <c r="C33" s="27"/>
      <c r="D33" s="27"/>
      <c r="E33" s="27"/>
      <c r="F33" s="27"/>
      <c r="G33" s="27"/>
      <c r="I33" s="25"/>
      <c r="J33" s="1"/>
      <c r="K33" s="1"/>
      <c r="L33" s="1"/>
      <c r="M33" s="1"/>
      <c r="N33" s="1"/>
      <c r="P33" s="25"/>
      <c r="Q33" s="1"/>
      <c r="R33" s="1"/>
      <c r="S33" s="1"/>
      <c r="T33" s="1"/>
      <c r="U33" s="1"/>
    </row>
    <row r="34" spans="2:21" x14ac:dyDescent="0.2">
      <c r="B34" s="25"/>
      <c r="C34" s="27"/>
      <c r="D34" s="27"/>
      <c r="E34" s="27"/>
      <c r="F34" s="27"/>
      <c r="G34" s="27"/>
      <c r="I34" s="25"/>
      <c r="J34" s="1"/>
      <c r="K34" s="1"/>
      <c r="L34" s="1"/>
      <c r="M34" s="1"/>
      <c r="N34" s="1"/>
      <c r="P34" s="25"/>
      <c r="Q34" s="1"/>
      <c r="R34" s="1"/>
      <c r="S34" s="1"/>
      <c r="T34" s="1"/>
      <c r="U34" s="1"/>
    </row>
    <row r="35" spans="2:21" x14ac:dyDescent="0.2">
      <c r="B35" s="25"/>
      <c r="C35" s="27"/>
      <c r="D35" s="27"/>
      <c r="E35" s="27"/>
      <c r="F35" s="27"/>
      <c r="G35" s="27"/>
      <c r="I35" s="25"/>
      <c r="J35" s="1"/>
      <c r="K35" s="1"/>
      <c r="L35" s="1"/>
      <c r="M35" s="1"/>
      <c r="N35" s="1"/>
      <c r="P35" s="25"/>
      <c r="Q35" s="1"/>
      <c r="R35" s="1"/>
      <c r="S35" s="1"/>
      <c r="T35" s="1"/>
      <c r="U35" s="1"/>
    </row>
    <row r="36" spans="2:21" x14ac:dyDescent="0.2">
      <c r="B36" s="25"/>
      <c r="C36" s="27"/>
      <c r="D36" s="27"/>
      <c r="E36" s="27"/>
      <c r="F36" s="27"/>
      <c r="G36" s="27"/>
      <c r="I36" s="25"/>
      <c r="J36" s="1"/>
      <c r="K36" s="1"/>
      <c r="L36" s="1"/>
      <c r="M36" s="1"/>
      <c r="N36" s="1"/>
      <c r="P36" s="25"/>
      <c r="Q36" s="1"/>
      <c r="R36" s="1"/>
      <c r="S36" s="1"/>
      <c r="T36" s="1"/>
      <c r="U36" s="1"/>
    </row>
    <row r="37" spans="2:21" x14ac:dyDescent="0.2">
      <c r="B37" s="25"/>
      <c r="C37" s="27"/>
      <c r="D37" s="27"/>
      <c r="E37" s="27"/>
      <c r="F37" s="27"/>
      <c r="G37" s="27"/>
      <c r="I37" s="25"/>
      <c r="J37" s="1"/>
      <c r="K37" s="1"/>
      <c r="L37" s="1"/>
      <c r="M37" s="1"/>
      <c r="N37" s="1"/>
      <c r="P37" s="25"/>
      <c r="Q37" s="1"/>
      <c r="R37" s="1"/>
      <c r="S37" s="1"/>
      <c r="T37" s="1"/>
      <c r="U37" s="1"/>
    </row>
    <row r="38" spans="2:21" x14ac:dyDescent="0.2">
      <c r="B38" s="25"/>
      <c r="C38" s="27"/>
      <c r="D38" s="27"/>
      <c r="E38" s="27"/>
      <c r="F38" s="27"/>
      <c r="G38" s="27"/>
      <c r="I38" s="25"/>
      <c r="J38" s="1"/>
      <c r="K38" s="1"/>
      <c r="L38" s="1"/>
      <c r="M38" s="1"/>
      <c r="N38" s="1"/>
      <c r="P38" s="25"/>
      <c r="Q38" s="1"/>
      <c r="R38" s="1"/>
      <c r="S38" s="1"/>
      <c r="T38" s="1"/>
      <c r="U38" s="1"/>
    </row>
    <row r="39" spans="2:21" x14ac:dyDescent="0.2">
      <c r="B39" s="25"/>
      <c r="C39" s="27"/>
      <c r="D39" s="27"/>
      <c r="E39" s="27"/>
      <c r="F39" s="27"/>
      <c r="G39" s="27"/>
      <c r="I39" s="25"/>
      <c r="J39" s="1"/>
      <c r="K39" s="1"/>
      <c r="L39" s="1"/>
      <c r="M39" s="1"/>
      <c r="N39" s="1"/>
      <c r="P39" s="25"/>
      <c r="Q39" s="1"/>
      <c r="R39" s="1"/>
      <c r="S39" s="1"/>
      <c r="T39" s="1"/>
      <c r="U39" s="1"/>
    </row>
    <row r="40" spans="2:21" x14ac:dyDescent="0.2">
      <c r="B40" s="25"/>
      <c r="C40" s="27"/>
      <c r="D40" s="27"/>
      <c r="E40" s="27"/>
      <c r="F40" s="27"/>
      <c r="G40" s="27"/>
      <c r="I40" s="25"/>
      <c r="J40" s="1"/>
      <c r="K40" s="1"/>
      <c r="L40" s="1"/>
      <c r="M40" s="1"/>
      <c r="N40" s="1"/>
      <c r="P40" s="25"/>
      <c r="Q40" s="1"/>
      <c r="R40" s="1"/>
      <c r="S40" s="1"/>
      <c r="T40" s="1"/>
      <c r="U40" s="1"/>
    </row>
    <row r="41" spans="2:21" x14ac:dyDescent="0.2">
      <c r="B41" s="25"/>
      <c r="C41" s="27"/>
      <c r="D41" s="27"/>
      <c r="E41" s="27"/>
      <c r="F41" s="27"/>
      <c r="G41" s="27"/>
      <c r="I41" s="25"/>
      <c r="J41" s="1"/>
      <c r="K41" s="1"/>
      <c r="L41" s="1"/>
      <c r="M41" s="1"/>
      <c r="N41" s="1"/>
      <c r="P41" s="25"/>
      <c r="Q41" s="1"/>
      <c r="R41" s="1"/>
      <c r="S41" s="1"/>
      <c r="T41" s="1"/>
      <c r="U41" s="1"/>
    </row>
    <row r="42" spans="2:21" x14ac:dyDescent="0.2">
      <c r="B42" s="25"/>
      <c r="C42" s="27"/>
      <c r="D42" s="27"/>
      <c r="E42" s="27"/>
      <c r="F42" s="27"/>
      <c r="G42" s="27"/>
      <c r="I42" s="25"/>
      <c r="J42" s="1"/>
      <c r="K42" s="1"/>
      <c r="L42" s="1"/>
      <c r="M42" s="1"/>
      <c r="N42" s="1"/>
      <c r="P42" s="25"/>
      <c r="Q42" s="1"/>
      <c r="R42" s="1"/>
      <c r="S42" s="1"/>
      <c r="T42" s="1"/>
      <c r="U42" s="1"/>
    </row>
    <row r="43" spans="2:21" x14ac:dyDescent="0.2">
      <c r="B43" s="25"/>
      <c r="C43" s="1"/>
      <c r="D43" s="1"/>
      <c r="E43" s="1"/>
      <c r="F43" s="1"/>
      <c r="G43" s="1"/>
      <c r="I43" s="25"/>
      <c r="J43" s="1"/>
      <c r="K43" s="1"/>
      <c r="L43" s="1"/>
      <c r="M43" s="1"/>
      <c r="N43" s="1"/>
      <c r="P43" s="25"/>
      <c r="Q43" s="1"/>
      <c r="R43" s="1"/>
      <c r="S43" s="1"/>
      <c r="T43" s="1"/>
      <c r="U43" s="1"/>
    </row>
    <row r="44" spans="2:21" x14ac:dyDescent="0.2">
      <c r="B44" s="25"/>
      <c r="C44" s="1"/>
      <c r="D44" s="1"/>
      <c r="E44" s="1"/>
      <c r="F44" s="1"/>
      <c r="G44" s="1"/>
      <c r="I44" s="25"/>
      <c r="J44" s="1"/>
      <c r="K44" s="1"/>
      <c r="L44" s="1"/>
      <c r="M44" s="1"/>
      <c r="N44" s="1"/>
      <c r="P44" s="25"/>
      <c r="Q44" s="1"/>
      <c r="R44" s="1"/>
      <c r="S44" s="1"/>
      <c r="T44" s="1"/>
      <c r="U44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</xdr:col>
                <xdr:colOff>314325</xdr:colOff>
                <xdr:row>8</xdr:row>
                <xdr:rowOff>66675</xdr:rowOff>
              </from>
              <to>
                <xdr:col>6</xdr:col>
                <xdr:colOff>209550</xdr:colOff>
                <xdr:row>10</xdr:row>
                <xdr:rowOff>9525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1</xdr:col>
                <xdr:colOff>0</xdr:colOff>
                <xdr:row>8</xdr:row>
                <xdr:rowOff>66675</xdr:rowOff>
              </from>
              <to>
                <xdr:col>3</xdr:col>
                <xdr:colOff>66675</xdr:colOff>
                <xdr:row>10</xdr:row>
                <xdr:rowOff>9525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numeros.png"/><Relationship Id="backsetup" Type="http://schemas.openxmlformats.org/officeDocument/2006/relationships/image" Target="images/backsetup.png"/><Relationship Id="FFSA_48" Type="http://schemas.openxmlformats.org/officeDocument/2006/relationships/image" Target="images/FFSA_48.png"/><Relationship Id="tabla-de-progreso" Type="http://schemas.openxmlformats.org/officeDocument/2006/relationships/image" Target="images/tabla-de-progreso.png"/><Relationship Id="ctrl_Q" Type="http://schemas.openxmlformats.org/officeDocument/2006/relationships/image" Target="images/ctrl_Q.png"/><Relationship Id="abc" Type="http://schemas.openxmlformats.org/officeDocument/2006/relationships/image" Target="images/abc.png"/></Relationships>
</file>

<file path=customUI/customUI14.xml><?xml version="1.0" encoding="utf-8"?>
<customUI xmlns="http://schemas.microsoft.com/office/2009/07/customui" onLoad="RibbonOnLoad">
  <ribbon startFromScratch="false">
    <tabs>
      <tab id="ID_Franco_Tools" label="FTools" getVisible="GetVisible" tag="FFSA">
        <group id="ID_G_Import_Projects" label="Legal Notice">
          <button id="ID_Logo_and_Legal_Notice" label="Franco Sivila" image="FFSA_48" size="large" screentip="Franco Help" supertip="Legal Notice" onAction="OnAc_Mensaje_Franco"/>
        </group>
        <group id="ID_G_Herramientas" label="VBA MS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  <button id="ID_Paste_Values" label="Paste Values" image="ctrl_Q" size="large" screentip="Franco Help" supertip="Paste Values is Active CTRL+Q" onAction="OnAc_Paste_Value"/>
          <separator id="sep1"/>
          <button id="ID_Format_Chart_A" label="Format Chart" image="tabla-de-progreso" size="large" screentip="Franco Help" supertip="Format selected chart" onAction="OnAc_Format_Chart_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DoSet</vt:lpstr>
      <vt:lpstr>DoGet</vt:lpstr>
      <vt:lpstr>Get Multiple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 fabian</cp:lastModifiedBy>
  <dcterms:created xsi:type="dcterms:W3CDTF">2022-11-17T21:26:22Z</dcterms:created>
  <dcterms:modified xsi:type="dcterms:W3CDTF">2026-05-17T18:05:26Z</dcterms:modified>
</cp:coreProperties>
</file>